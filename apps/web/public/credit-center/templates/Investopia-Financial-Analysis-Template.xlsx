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Financial Analysis Form" sheetId="2" state="visible" r:id="rId2"/>
  </sheets>
  <definedNames/>
  <calcPr calcId="124519" fullCalcOnLoad="1"/>
</workbook>
</file>

<file path=xl/styles.xml><?xml version="1.0" encoding="utf-8"?>
<styleSheet xmlns="http://schemas.openxmlformats.org/spreadsheetml/2006/main">
  <numFmts count="3">
    <numFmt numFmtId="164" formatCode="dd-mmm-yyyy"/>
    <numFmt numFmtId="165" formatCode="#,##0.0;(#,##0.0);-"/>
    <numFmt numFmtId="166" formatCode="0.0%"/>
  </numFmts>
  <fonts count="9">
    <font>
      <name val="Calibri"/>
      <family val="2"/>
      <color theme="1"/>
      <sz val="11"/>
      <scheme val="minor"/>
    </font>
    <font>
      <b val="1"/>
      <sz val="14"/>
    </font>
    <font>
      <i val="1"/>
      <color rgb="0052606D"/>
    </font>
    <font>
      <b val="1"/>
      <color rgb="00FFFFFF"/>
    </font>
    <font/>
    <font>
      <b val="1"/>
    </font>
    <font>
      <b val="1"/>
      <sz val="13"/>
    </font>
    <font>
      <sz val="11"/>
    </font>
    <font>
      <b val="1"/>
      <sz val="11"/>
    </font>
  </fonts>
  <fills count="5">
    <fill>
      <patternFill/>
    </fill>
    <fill>
      <patternFill patternType="gray125"/>
    </fill>
    <fill>
      <patternFill patternType="solid">
        <fgColor rgb="00FFF8E1"/>
      </patternFill>
    </fill>
    <fill>
      <patternFill patternType="solid">
        <fgColor rgb="000A3329"/>
      </patternFill>
    </fill>
    <fill>
      <patternFill patternType="solid">
        <fgColor rgb="00E8F3EE"/>
      </patternFill>
    </fill>
  </fills>
  <borders count="3">
    <border>
      <left/>
      <right/>
      <top/>
      <bottom/>
      <diagonal/>
    </border>
    <border>
      <left style="thin">
        <color rgb="00C8D0D6"/>
      </left>
      <right style="thin">
        <color rgb="00C8D0D6"/>
      </right>
      <top style="thin">
        <color rgb="00C8D0D6"/>
      </top>
      <bottom style="thin">
        <color rgb="00C8D0D6"/>
      </bottom>
    </border>
    <border/>
  </borders>
  <cellStyleXfs count="1">
    <xf numFmtId="0" fontId="0" fillId="0" borderId="0"/>
  </cellStyleXfs>
  <cellXfs count="26">
    <xf numFmtId="0" fontId="0" fillId="0" borderId="0" pivotButton="0" quotePrefix="0" xfId="0"/>
    <xf numFmtId="0" fontId="6" fillId="0"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wrapText="1"/>
    </xf>
    <xf numFmtId="0" fontId="1" fillId="0"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164" fontId="0" fillId="2" borderId="1" pivotButton="0" quotePrefix="0" xfId="0"/>
    <xf numFmtId="0" fontId="0" fillId="2" borderId="1" pivotButton="0" quotePrefix="0" xfId="0"/>
    <xf numFmtId="49" fontId="0" fillId="2" borderId="1" pivotButton="0" quotePrefix="0" xfId="0"/>
    <xf numFmtId="165" fontId="0" fillId="2" borderId="1" pivotButton="0" quotePrefix="0" xfId="0"/>
    <xf numFmtId="0" fontId="5" fillId="0" borderId="0" pivotButton="0" quotePrefix="0" xfId="0"/>
    <xf numFmtId="165" fontId="5" fillId="4" borderId="1" pivotButton="0" quotePrefix="0" xfId="0"/>
    <xf numFmtId="49" fontId="0" fillId="4" borderId="1" pivotButton="0" quotePrefix="0" xfId="0"/>
    <xf numFmtId="164" fontId="0" fillId="4" borderId="1" pivotButton="0" quotePrefix="0" xfId="0"/>
    <xf numFmtId="1" fontId="0" fillId="4" borderId="1" pivotButton="0" quotePrefix="0" xfId="0"/>
    <xf numFmtId="165" fontId="0" fillId="4" borderId="1" pivotButton="0" quotePrefix="0" xfId="0"/>
    <xf numFmtId="165" fontId="0" fillId="0" borderId="2" pivotButton="0" quotePrefix="0" xfId="0"/>
    <xf numFmtId="165" fontId="5" fillId="0" borderId="2" pivotButton="0" quotePrefix="0" xfId="0"/>
    <xf numFmtId="2" fontId="0" fillId="4" borderId="1" pivotButton="0" quotePrefix="0" xfId="0"/>
    <xf numFmtId="166" fontId="0" fillId="4" borderId="1" pivotButton="0" quotePrefix="0" xfId="0"/>
    <xf numFmtId="166" fontId="0" fillId="0" borderId="2" pivotButton="0" quotePrefix="0" xfId="0"/>
    <xf numFmtId="1"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Investopia Financial Analysis Template</t>
        </is>
      </c>
    </row>
    <row r="2">
      <c r="A2" s="2" t="inlineStr">
        <is>
          <t>A platform by Erudite Africa Investments PLC. www.investopia.et</t>
        </is>
      </c>
    </row>
    <row r="3">
      <c r="A3" s="2" t="inlineStr"/>
    </row>
    <row r="4">
      <c r="A4" s="2" t="inlineStr">
        <is>
          <t>1. Enter up to five periods on the Financial Analysis Form sheet, newest in column B and oldest in column F.</t>
        </is>
      </c>
    </row>
    <row r="5">
      <c r="A5" s="2" t="inlineStr">
        <is>
          <t>2. Fill only the shaded cells. Totals, the fixed asset reconciliation, trend ratios and analytical ratios calculate on their own.</t>
        </is>
      </c>
    </row>
    <row r="6">
      <c r="A6" s="2" t="inlineStr">
        <is>
          <t>3. Period length is the gap between two balance sheet dates; type over it for a first period or an interim period of a different length.</t>
        </is>
      </c>
    </row>
    <row r="7">
      <c r="A7" s="2" t="inlineStr">
        <is>
          <t>4. The check row (row 44) should be 0 in every period. If it is not, the balance sheet entries are incomplete.</t>
        </is>
      </c>
    </row>
    <row r="8">
      <c r="A8" s="2" t="inlineStr">
        <is>
          <t>5. To build the full credit analysis report, open the Credit analysis workspace on Investopia, go to Financial statements, and copy cells B9 to F82 and paste them into the first cell (land and building, latest period). Totals and headings are skipped.</t>
        </is>
      </c>
    </row>
    <row r="9">
      <c r="A9" s="2" t="inlineStr"/>
    </row>
    <row r="10">
      <c r="A10" s="3" t="inlineStr">
        <is>
          <t>Notes on the formulas</t>
        </is>
      </c>
    </row>
    <row r="11">
      <c r="A11" s="2" t="inlineStr">
        <is>
          <t>Opening fixed assets come from the previous (older) period. Capital expenditure = ending fixed assets less (opening less depreciation less assets sold plus revaluations).</t>
        </is>
      </c>
    </row>
    <row r="12">
      <c r="A12" s="2" t="inlineStr">
        <is>
          <t>Bank debt = short loans + current portion of long/medium loans + long/medium term loans (rows 20, 21 and 31).</t>
        </is>
      </c>
    </row>
    <row r="13">
      <c r="A13" s="2" t="inlineStr">
        <is>
          <t>Sales growth is annualized by period length. Working capital source/(need) applies the previous period's days to this period's activity.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4" t="inlineStr">
        <is>
          <t>FINANCIAL ANALYSIS FORM</t>
        </is>
      </c>
    </row>
    <row r="2">
      <c r="A2" t="inlineStr">
        <is>
          <t>Customer's name:</t>
        </is>
      </c>
      <c r="B2" s="5" t="n"/>
    </row>
    <row r="3">
      <c r="A3" t="inlineStr">
        <is>
          <t>External auditor's name:</t>
        </is>
      </c>
      <c r="B3" s="5" t="n"/>
    </row>
    <row r="4">
      <c r="A4" s="6" t="inlineStr">
        <is>
          <t>Amounts in ETB '000 unless stated. Newest period in column B, oldest in column F. Fill the shaded cells only.</t>
        </is>
      </c>
    </row>
    <row r="5">
      <c r="A5" s="7" t="inlineStr">
        <is>
          <t>BALANCE SHEET</t>
        </is>
      </c>
      <c r="B5" s="8" t="n"/>
      <c r="C5" s="8" t="n"/>
      <c r="D5" s="8" t="n"/>
      <c r="E5" s="8" t="n"/>
      <c r="F5" s="8" t="n"/>
    </row>
    <row r="6">
      <c r="A6" s="9" t="inlineStr">
        <is>
          <t>As at</t>
        </is>
      </c>
      <c r="B6" s="10" t="n"/>
      <c r="C6" s="10" t="n"/>
      <c r="D6" s="10" t="n"/>
      <c r="E6" s="10" t="n"/>
      <c r="F6" s="10" t="n"/>
    </row>
    <row r="7">
      <c r="A7" s="9" t="inlineStr">
        <is>
          <t>Period length (in days)</t>
        </is>
      </c>
      <c r="B7" s="11">
        <f>IF(OR(B6="",C6=""),365,B6-C6)</f>
        <v/>
      </c>
      <c r="C7" s="11">
        <f>IF(OR(C6="",D6=""),365,C6-D6)</f>
        <v/>
      </c>
      <c r="D7" s="11">
        <f>IF(OR(D6="",E6=""),365,D6-E6)</f>
        <v/>
      </c>
      <c r="E7" s="11">
        <f>IF(OR(E6="",F6=""),365,E6-F6)</f>
        <v/>
      </c>
      <c r="F7" s="11" t="n">
        <v>365</v>
      </c>
    </row>
    <row r="8">
      <c r="A8" s="9" t="inlineStr">
        <is>
          <t>Type of financial statement (Audited, Interim, Provisional, Projected)</t>
        </is>
      </c>
      <c r="B8" s="12" t="n"/>
      <c r="C8" s="12" t="n"/>
      <c r="D8" s="12" t="n"/>
      <c r="E8" s="12" t="n"/>
      <c r="F8" s="12" t="n"/>
    </row>
    <row r="9">
      <c r="A9" s="9" t="inlineStr">
        <is>
          <t>Land and building</t>
        </is>
      </c>
      <c r="B9" s="13" t="n"/>
      <c r="C9" s="13" t="n"/>
      <c r="D9" s="13" t="n"/>
      <c r="E9" s="13" t="n"/>
      <c r="F9" s="13" t="n"/>
    </row>
    <row r="10">
      <c r="A10" s="9" t="inlineStr">
        <is>
          <t>Machinery and vehicles</t>
        </is>
      </c>
      <c r="B10" s="13" t="n"/>
      <c r="C10" s="13" t="n"/>
      <c r="D10" s="13" t="n"/>
      <c r="E10" s="13" t="n"/>
      <c r="F10" s="13" t="n"/>
    </row>
    <row r="11">
      <c r="A11" s="9" t="inlineStr">
        <is>
          <t>Other fixed assets</t>
        </is>
      </c>
      <c r="B11" s="13" t="n"/>
      <c r="C11" s="13" t="n"/>
      <c r="D11" s="13" t="n"/>
      <c r="E11" s="13" t="n"/>
      <c r="F11" s="13" t="n"/>
    </row>
    <row r="12">
      <c r="A12" s="14" t="inlineStr">
        <is>
          <t>Fixed assets</t>
        </is>
      </c>
      <c r="B12" s="15">
        <f>B9+B10+B11</f>
        <v/>
      </c>
      <c r="C12" s="15">
        <f>C9+C10+C11</f>
        <v/>
      </c>
      <c r="D12" s="15">
        <f>D9+D10+D11</f>
        <v/>
      </c>
      <c r="E12" s="15">
        <f>E9+E10+E11</f>
        <v/>
      </c>
      <c r="F12" s="15">
        <f>F9+F10+F11</f>
        <v/>
      </c>
    </row>
    <row r="13">
      <c r="A13" s="9" t="inlineStr">
        <is>
          <t>Cash on hand and in bank</t>
        </is>
      </c>
      <c r="B13" s="13" t="n"/>
      <c r="C13" s="13" t="n"/>
      <c r="D13" s="13" t="n"/>
      <c r="E13" s="13" t="n"/>
      <c r="F13" s="13" t="n"/>
    </row>
    <row r="14">
      <c r="A14" s="9" t="inlineStr">
        <is>
          <t>Stock and work in process</t>
        </is>
      </c>
      <c r="B14" s="13" t="n"/>
      <c r="C14" s="13" t="n"/>
      <c r="D14" s="13" t="n"/>
      <c r="E14" s="13" t="n"/>
      <c r="F14" s="13" t="n"/>
    </row>
    <row r="15">
      <c r="A15" s="9" t="inlineStr">
        <is>
          <t>Trade debtors</t>
        </is>
      </c>
      <c r="B15" s="13" t="n"/>
      <c r="C15" s="13" t="n"/>
      <c r="D15" s="13" t="n"/>
      <c r="E15" s="13" t="n"/>
      <c r="F15" s="13" t="n"/>
    </row>
    <row r="16">
      <c r="A16" s="9" t="inlineStr">
        <is>
          <t>Other debtors and prepayments</t>
        </is>
      </c>
      <c r="B16" s="13" t="n"/>
      <c r="C16" s="13" t="n"/>
      <c r="D16" s="13" t="n"/>
      <c r="E16" s="13" t="n"/>
      <c r="F16" s="13" t="n"/>
    </row>
    <row r="17">
      <c r="A17" s="9" t="inlineStr">
        <is>
          <t>Inter-company debtors</t>
        </is>
      </c>
      <c r="B17" s="13" t="n"/>
      <c r="C17" s="13" t="n"/>
      <c r="D17" s="13" t="n"/>
      <c r="E17" s="13" t="n"/>
      <c r="F17" s="13" t="n"/>
    </row>
    <row r="18">
      <c r="A18" s="9" t="inlineStr">
        <is>
          <t>Others</t>
        </is>
      </c>
      <c r="B18" s="13" t="n"/>
      <c r="C18" s="13" t="n"/>
      <c r="D18" s="13" t="n"/>
      <c r="E18" s="13" t="n"/>
      <c r="F18" s="13" t="n"/>
    </row>
    <row r="19">
      <c r="A19" s="14" t="inlineStr">
        <is>
          <t>Current assets</t>
        </is>
      </c>
      <c r="B19" s="15">
        <f>SUM(B13:B18)</f>
        <v/>
      </c>
      <c r="C19" s="15">
        <f>SUM(C13:C18)</f>
        <v/>
      </c>
      <c r="D19" s="15">
        <f>SUM(D13:D18)</f>
        <v/>
      </c>
      <c r="E19" s="15">
        <f>SUM(E13:E18)</f>
        <v/>
      </c>
      <c r="F19" s="15">
        <f>SUM(F13:F18)</f>
        <v/>
      </c>
    </row>
    <row r="20">
      <c r="A20" s="9" t="inlineStr">
        <is>
          <t>Short loans (short term loan and overdraft)</t>
        </is>
      </c>
      <c r="B20" s="13" t="n"/>
      <c r="C20" s="13" t="n"/>
      <c r="D20" s="13" t="n"/>
      <c r="E20" s="13" t="n"/>
      <c r="F20" s="13" t="n"/>
    </row>
    <row r="21">
      <c r="A21" s="9" t="inlineStr">
        <is>
          <t>Current portion of long/medium loans</t>
        </is>
      </c>
      <c r="B21" s="13" t="n"/>
      <c r="C21" s="13" t="n"/>
      <c r="D21" s="13" t="n"/>
      <c r="E21" s="13" t="n"/>
      <c r="F21" s="13" t="n"/>
    </row>
    <row r="22">
      <c r="A22" s="9" t="inlineStr">
        <is>
          <t>Trade creditors</t>
        </is>
      </c>
      <c r="B22" s="13" t="n"/>
      <c r="C22" s="13" t="n"/>
      <c r="D22" s="13" t="n"/>
      <c r="E22" s="13" t="n"/>
      <c r="F22" s="13" t="n"/>
    </row>
    <row r="23">
      <c r="A23" s="9" t="inlineStr">
        <is>
          <t>Other creditors and accruals</t>
        </is>
      </c>
      <c r="B23" s="13" t="n"/>
      <c r="C23" s="13" t="n"/>
      <c r="D23" s="13" t="n"/>
      <c r="E23" s="13" t="n"/>
      <c r="F23" s="13" t="n"/>
    </row>
    <row r="24">
      <c r="A24" s="9" t="inlineStr">
        <is>
          <t>Inter-company creditors</t>
        </is>
      </c>
      <c r="B24" s="13" t="n"/>
      <c r="C24" s="13" t="n"/>
      <c r="D24" s="13" t="n"/>
      <c r="E24" s="13" t="n"/>
      <c r="F24" s="13" t="n"/>
    </row>
    <row r="25">
      <c r="A25" s="9" t="inlineStr">
        <is>
          <t>Current taxes</t>
        </is>
      </c>
      <c r="B25" s="13" t="n"/>
      <c r="C25" s="13" t="n"/>
      <c r="D25" s="13" t="n"/>
      <c r="E25" s="13" t="n"/>
      <c r="F25" s="13" t="n"/>
    </row>
    <row r="26">
      <c r="A26" s="9" t="inlineStr">
        <is>
          <t>Dividends</t>
        </is>
      </c>
      <c r="B26" s="13" t="n"/>
      <c r="C26" s="13" t="n"/>
      <c r="D26" s="13" t="n"/>
      <c r="E26" s="13" t="n"/>
      <c r="F26" s="13" t="n"/>
    </row>
    <row r="27">
      <c r="A27" s="9" t="inlineStr">
        <is>
          <t>Others</t>
        </is>
      </c>
      <c r="B27" s="13" t="n"/>
      <c r="C27" s="13" t="n"/>
      <c r="D27" s="13" t="n"/>
      <c r="E27" s="13" t="n"/>
      <c r="F27" s="13" t="n"/>
    </row>
    <row r="28">
      <c r="A28" s="14" t="inlineStr">
        <is>
          <t>Current liabilities</t>
        </is>
      </c>
      <c r="B28" s="15">
        <f>SUM(B20:B27)</f>
        <v/>
      </c>
      <c r="C28" s="15">
        <f>SUM(C20:C27)</f>
        <v/>
      </c>
      <c r="D28" s="15">
        <f>SUM(D20:D27)</f>
        <v/>
      </c>
      <c r="E28" s="15">
        <f>SUM(E20:E27)</f>
        <v/>
      </c>
      <c r="F28" s="15">
        <f>SUM(F20:F27)</f>
        <v/>
      </c>
    </row>
    <row r="29">
      <c r="A29" s="14" t="inlineStr">
        <is>
          <t>Net current assets</t>
        </is>
      </c>
      <c r="B29" s="15">
        <f>B19-B28</f>
        <v/>
      </c>
      <c r="C29" s="15">
        <f>C19-C28</f>
        <v/>
      </c>
      <c r="D29" s="15">
        <f>D19-D28</f>
        <v/>
      </c>
      <c r="E29" s="15">
        <f>E19-E28</f>
        <v/>
      </c>
      <c r="F29" s="15">
        <f>F19-F28</f>
        <v/>
      </c>
    </row>
    <row r="30">
      <c r="A30" s="14" t="inlineStr">
        <is>
          <t>Employment of capital</t>
        </is>
      </c>
      <c r="B30" s="15">
        <f>B12+B19-B28</f>
        <v/>
      </c>
      <c r="C30" s="15">
        <f>C12+C19-C28</f>
        <v/>
      </c>
      <c r="D30" s="15">
        <f>D12+D19-D28</f>
        <v/>
      </c>
      <c r="E30" s="15">
        <f>E12+E19-E28</f>
        <v/>
      </c>
      <c r="F30" s="15">
        <f>F12+F19-F28</f>
        <v/>
      </c>
    </row>
    <row r="31">
      <c r="A31" s="9" t="inlineStr">
        <is>
          <t>Long/medium term loans</t>
        </is>
      </c>
      <c r="B31" s="13" t="n"/>
      <c r="C31" s="13" t="n"/>
      <c r="D31" s="13" t="n"/>
      <c r="E31" s="13" t="n"/>
      <c r="F31" s="13" t="n"/>
    </row>
    <row r="32">
      <c r="A32" s="9" t="inlineStr">
        <is>
          <t>Deferred tax</t>
        </is>
      </c>
      <c r="B32" s="13" t="n"/>
      <c r="C32" s="13" t="n"/>
      <c r="D32" s="13" t="n"/>
      <c r="E32" s="13" t="n"/>
      <c r="F32" s="13" t="n"/>
    </row>
    <row r="33">
      <c r="A33" s="9" t="inlineStr">
        <is>
          <t>Shareholders' loans</t>
        </is>
      </c>
      <c r="B33" s="13" t="n"/>
      <c r="C33" s="13" t="n"/>
      <c r="D33" s="13" t="n"/>
      <c r="E33" s="13" t="n"/>
      <c r="F33" s="13" t="n"/>
    </row>
    <row r="34">
      <c r="A34" s="9" t="inlineStr">
        <is>
          <t>Inter-company loans</t>
        </is>
      </c>
      <c r="B34" s="13" t="n"/>
      <c r="C34" s="13" t="n"/>
      <c r="D34" s="13" t="n"/>
      <c r="E34" s="13" t="n"/>
      <c r="F34" s="13" t="n"/>
    </row>
    <row r="35">
      <c r="A35" s="9" t="inlineStr">
        <is>
          <t>Other long term creditors</t>
        </is>
      </c>
      <c r="B35" s="13" t="n"/>
      <c r="C35" s="13" t="n"/>
      <c r="D35" s="13" t="n"/>
      <c r="E35" s="13" t="n"/>
      <c r="F35" s="13" t="n"/>
    </row>
    <row r="36">
      <c r="A36" s="9" t="inlineStr">
        <is>
          <t>Grants</t>
        </is>
      </c>
      <c r="B36" s="13" t="n"/>
      <c r="C36" s="13" t="n"/>
      <c r="D36" s="13" t="n"/>
      <c r="E36" s="13" t="n"/>
      <c r="F36" s="13" t="n"/>
    </row>
    <row r="37">
      <c r="A37" s="14" t="inlineStr">
        <is>
          <t>Term liabilities</t>
        </is>
      </c>
      <c r="B37" s="15">
        <f>SUM(B31:B36)</f>
        <v/>
      </c>
      <c r="C37" s="15">
        <f>SUM(C31:C36)</f>
        <v/>
      </c>
      <c r="D37" s="15">
        <f>SUM(D31:D36)</f>
        <v/>
      </c>
      <c r="E37" s="15">
        <f>SUM(E31:E36)</f>
        <v/>
      </c>
      <c r="F37" s="15">
        <f>SUM(F31:F36)</f>
        <v/>
      </c>
    </row>
    <row r="38">
      <c r="A38" s="9" t="inlineStr">
        <is>
          <t>Capital (paid-up/initial)</t>
        </is>
      </c>
      <c r="B38" s="13" t="n"/>
      <c r="C38" s="13" t="n"/>
      <c r="D38" s="13" t="n"/>
      <c r="E38" s="13" t="n"/>
      <c r="F38" s="13" t="n"/>
    </row>
    <row r="39">
      <c r="A39" s="9" t="inlineStr">
        <is>
          <t>Reserves</t>
        </is>
      </c>
      <c r="B39" s="13" t="n"/>
      <c r="C39" s="13" t="n"/>
      <c r="D39" s="13" t="n"/>
      <c r="E39" s="13" t="n"/>
      <c r="F39" s="13" t="n"/>
    </row>
    <row r="40">
      <c r="A40" s="9" t="inlineStr">
        <is>
          <t>Retained earnings</t>
        </is>
      </c>
      <c r="B40" s="13" t="n"/>
      <c r="C40" s="13" t="n"/>
      <c r="D40" s="13" t="n"/>
      <c r="E40" s="13" t="n"/>
      <c r="F40" s="13" t="n"/>
    </row>
    <row r="41">
      <c r="A41" s="9" t="inlineStr">
        <is>
          <t>Others</t>
        </is>
      </c>
      <c r="B41" s="13" t="n"/>
      <c r="C41" s="13" t="n"/>
      <c r="D41" s="13" t="n"/>
      <c r="E41" s="13" t="n"/>
      <c r="F41" s="13" t="n"/>
    </row>
    <row r="42">
      <c r="A42" s="14" t="inlineStr">
        <is>
          <t>Tangible net worth</t>
        </is>
      </c>
      <c r="B42" s="15">
        <f>SUM(B38:B41)</f>
        <v/>
      </c>
      <c r="C42" s="15">
        <f>SUM(C38:C41)</f>
        <v/>
      </c>
      <c r="D42" s="15">
        <f>SUM(D38:D41)</f>
        <v/>
      </c>
      <c r="E42" s="15">
        <f>SUM(E38:E41)</f>
        <v/>
      </c>
      <c r="F42" s="15">
        <f>SUM(F38:F41)</f>
        <v/>
      </c>
    </row>
    <row r="43">
      <c r="A43" s="14" t="inlineStr">
        <is>
          <t>Capital employed</t>
        </is>
      </c>
      <c r="B43" s="15">
        <f>B37+B42</f>
        <v/>
      </c>
      <c r="C43" s="15">
        <f>C37+C42</f>
        <v/>
      </c>
      <c r="D43" s="15">
        <f>D37+D42</f>
        <v/>
      </c>
      <c r="E43" s="15">
        <f>E37+E42</f>
        <v/>
      </c>
      <c r="F43" s="15">
        <f>F37+F42</f>
        <v/>
      </c>
    </row>
    <row r="44">
      <c r="A44" s="14" t="inlineStr">
        <is>
          <t>Check: total assets less total liability (should be 0)</t>
        </is>
      </c>
      <c r="B44" s="15">
        <f>B30-B43</f>
        <v/>
      </c>
      <c r="C44" s="15">
        <f>C30-C43</f>
        <v/>
      </c>
      <c r="D44" s="15">
        <f>D30-D43</f>
        <v/>
      </c>
      <c r="E44" s="15">
        <f>E30-E43</f>
        <v/>
      </c>
      <c r="F44" s="15">
        <f>F30-F43</f>
        <v/>
      </c>
    </row>
    <row r="45"/>
    <row r="46"/>
    <row r="47"/>
    <row r="48"/>
    <row r="49"/>
    <row r="50"/>
    <row r="51"/>
    <row r="52"/>
    <row r="53"/>
    <row r="54"/>
    <row r="55">
      <c r="A55" s="7" t="inlineStr">
        <is>
          <t>PROFIT AND LOSS ACCOUNT</t>
        </is>
      </c>
      <c r="B55" s="8" t="n"/>
      <c r="C55" s="8" t="n"/>
      <c r="D55" s="8" t="n"/>
      <c r="E55" s="8" t="n"/>
      <c r="F55" s="8" t="n"/>
    </row>
    <row r="56"/>
    <row r="57">
      <c r="A57" s="9" t="inlineStr">
        <is>
          <t>Customer</t>
        </is>
      </c>
      <c r="B57" s="16">
        <f>$B$2</f>
        <v/>
      </c>
    </row>
    <row r="58">
      <c r="A58" s="9" t="inlineStr">
        <is>
          <t>Period ended</t>
        </is>
      </c>
      <c r="B58" s="17">
        <f>B6</f>
        <v/>
      </c>
      <c r="C58" s="17">
        <f>C6</f>
        <v/>
      </c>
      <c r="D58" s="17">
        <f>D6</f>
        <v/>
      </c>
      <c r="E58" s="17">
        <f>E6</f>
        <v/>
      </c>
      <c r="F58" s="17">
        <f>F6</f>
        <v/>
      </c>
    </row>
    <row r="59">
      <c r="A59" s="9" t="inlineStr">
        <is>
          <t>Period length (days)</t>
        </is>
      </c>
      <c r="B59" s="18">
        <f>B7</f>
        <v/>
      </c>
      <c r="C59" s="18">
        <f>C7</f>
        <v/>
      </c>
      <c r="D59" s="18">
        <f>D7</f>
        <v/>
      </c>
      <c r="E59" s="18">
        <f>E7</f>
        <v/>
      </c>
      <c r="F59" s="18">
        <f>F7</f>
        <v/>
      </c>
    </row>
    <row r="60">
      <c r="A60" s="9" t="inlineStr">
        <is>
          <t>Net sales</t>
        </is>
      </c>
      <c r="B60" s="13" t="n"/>
      <c r="C60" s="13" t="n"/>
      <c r="D60" s="13" t="n"/>
      <c r="E60" s="13" t="n"/>
      <c r="F60" s="13" t="n"/>
    </row>
    <row r="61">
      <c r="A61" s="9" t="inlineStr">
        <is>
          <t>Cost of goods sold</t>
        </is>
      </c>
      <c r="B61" s="13" t="n"/>
      <c r="C61" s="13" t="n"/>
      <c r="D61" s="13" t="n"/>
      <c r="E61" s="13" t="n"/>
      <c r="F61" s="13" t="n"/>
    </row>
    <row r="62">
      <c r="A62" s="9" t="inlineStr">
        <is>
          <t>Direct depreciation</t>
        </is>
      </c>
      <c r="B62" s="13" t="n"/>
      <c r="C62" s="13" t="n"/>
      <c r="D62" s="13" t="n"/>
      <c r="E62" s="13" t="n"/>
      <c r="F62" s="13" t="n"/>
    </row>
    <row r="63">
      <c r="A63" s="9" t="inlineStr">
        <is>
          <t>Other direct costs</t>
        </is>
      </c>
      <c r="B63" s="13" t="n"/>
      <c r="C63" s="13" t="n"/>
      <c r="D63" s="13" t="n"/>
      <c r="E63" s="13" t="n"/>
      <c r="F63" s="13" t="n"/>
    </row>
    <row r="64">
      <c r="A64" s="14" t="inlineStr">
        <is>
          <t>Gross profit</t>
        </is>
      </c>
      <c r="B64" s="15">
        <f>B60-B61-B62-B63</f>
        <v/>
      </c>
      <c r="C64" s="15">
        <f>C60-C61-C62-C63</f>
        <v/>
      </c>
      <c r="D64" s="15">
        <f>D60-D61-D62-D63</f>
        <v/>
      </c>
      <c r="E64" s="15">
        <f>E60-E61-E62-E63</f>
        <v/>
      </c>
      <c r="F64" s="15">
        <f>F60-F61-F62-F63</f>
        <v/>
      </c>
    </row>
    <row r="65">
      <c r="A65" s="9" t="inlineStr">
        <is>
          <t>Administrative and general expenses</t>
        </is>
      </c>
      <c r="B65" s="13" t="n"/>
      <c r="C65" s="13" t="n"/>
      <c r="D65" s="13" t="n"/>
      <c r="E65" s="13" t="n"/>
      <c r="F65" s="13" t="n"/>
    </row>
    <row r="66">
      <c r="A66" s="9" t="inlineStr">
        <is>
          <t>Depreciation</t>
        </is>
      </c>
      <c r="B66" s="13" t="n"/>
      <c r="C66" s="13" t="n"/>
      <c r="D66" s="13" t="n"/>
      <c r="E66" s="13" t="n"/>
      <c r="F66" s="13" t="n"/>
    </row>
    <row r="67">
      <c r="A67" s="9" t="inlineStr">
        <is>
          <t>Amortization</t>
        </is>
      </c>
      <c r="B67" s="13" t="n"/>
      <c r="C67" s="13" t="n"/>
      <c r="D67" s="13" t="n"/>
      <c r="E67" s="13" t="n"/>
      <c r="F67" s="13" t="n"/>
    </row>
    <row r="68">
      <c r="A68" s="9" t="inlineStr">
        <is>
          <t>Direct remunerations</t>
        </is>
      </c>
      <c r="B68" s="13" t="n"/>
      <c r="C68" s="13" t="n"/>
      <c r="D68" s="13" t="n"/>
      <c r="E68" s="13" t="n"/>
      <c r="F68" s="13" t="n"/>
    </row>
    <row r="69">
      <c r="A69" s="14" t="inlineStr">
        <is>
          <t>Operating profit</t>
        </is>
      </c>
      <c r="B69" s="15">
        <f>B64-B65-B66-B67-B68</f>
        <v/>
      </c>
      <c r="C69" s="15">
        <f>C64-C65-C66-C67-C68</f>
        <v/>
      </c>
      <c r="D69" s="15">
        <f>D64-D65-D66-D67-D68</f>
        <v/>
      </c>
      <c r="E69" s="15">
        <f>E64-E65-E66-E67-E68</f>
        <v/>
      </c>
      <c r="F69" s="15">
        <f>F64-F65-F66-F67-F68</f>
        <v/>
      </c>
    </row>
    <row r="70">
      <c r="A70" s="9" t="inlineStr">
        <is>
          <t>Financial expenses</t>
        </is>
      </c>
      <c r="B70" s="13" t="n"/>
      <c r="C70" s="13" t="n"/>
      <c r="D70" s="13" t="n"/>
      <c r="E70" s="13" t="n"/>
      <c r="F70" s="13" t="n"/>
    </row>
    <row r="71">
      <c r="A71" s="9" t="inlineStr">
        <is>
          <t>Loss on disposal of fixed assets</t>
        </is>
      </c>
      <c r="B71" s="13" t="n"/>
      <c r="C71" s="13" t="n"/>
      <c r="D71" s="13" t="n"/>
      <c r="E71" s="13" t="n"/>
      <c r="F71" s="13" t="n"/>
    </row>
    <row r="72">
      <c r="A72" s="9" t="inlineStr">
        <is>
          <t>Other expenses</t>
        </is>
      </c>
      <c r="B72" s="13" t="n"/>
      <c r="C72" s="13" t="n"/>
      <c r="D72" s="13" t="n"/>
      <c r="E72" s="13" t="n"/>
      <c r="F72" s="13" t="n"/>
    </row>
    <row r="73">
      <c r="A73" s="14" t="inlineStr">
        <is>
          <t>Sub-total expenses</t>
        </is>
      </c>
      <c r="B73" s="15">
        <f>B70+B71+B72</f>
        <v/>
      </c>
      <c r="C73" s="15">
        <f>C70+C71+C72</f>
        <v/>
      </c>
      <c r="D73" s="15">
        <f>D70+D71+D72</f>
        <v/>
      </c>
      <c r="E73" s="15">
        <f>E70+E71+E72</f>
        <v/>
      </c>
      <c r="F73" s="15">
        <f>F70+F71+F72</f>
        <v/>
      </c>
    </row>
    <row r="74">
      <c r="A74" s="9" t="inlineStr">
        <is>
          <t>Interest income</t>
        </is>
      </c>
      <c r="B74" s="13" t="n"/>
      <c r="C74" s="13" t="n"/>
      <c r="D74" s="13" t="n"/>
      <c r="E74" s="13" t="n"/>
      <c r="F74" s="13" t="n"/>
    </row>
    <row r="75">
      <c r="A75" s="9" t="inlineStr">
        <is>
          <t>Other income</t>
        </is>
      </c>
      <c r="B75" s="13" t="n"/>
      <c r="C75" s="13" t="n"/>
      <c r="D75" s="13" t="n"/>
      <c r="E75" s="13" t="n"/>
      <c r="F75" s="13" t="n"/>
    </row>
    <row r="76">
      <c r="A76" s="14" t="inlineStr">
        <is>
          <t>Sub-total other income</t>
        </is>
      </c>
      <c r="B76" s="15">
        <f>B74+B75</f>
        <v/>
      </c>
      <c r="C76" s="15">
        <f>C74+C75</f>
        <v/>
      </c>
      <c r="D76" s="15">
        <f>D74+D75</f>
        <v/>
      </c>
      <c r="E76" s="15">
        <f>E74+E75</f>
        <v/>
      </c>
      <c r="F76" s="15">
        <f>F74+F75</f>
        <v/>
      </c>
    </row>
    <row r="77">
      <c r="A77" s="14" t="inlineStr">
        <is>
          <t>Profit/(loss) before tax</t>
        </is>
      </c>
      <c r="B77" s="15">
        <f>B69-B73+B76</f>
        <v/>
      </c>
      <c r="C77" s="15">
        <f>C69-C73+C76</f>
        <v/>
      </c>
      <c r="D77" s="15">
        <f>D69-D73+D76</f>
        <v/>
      </c>
      <c r="E77" s="15">
        <f>E69-E73+E76</f>
        <v/>
      </c>
      <c r="F77" s="15">
        <f>F69-F73+F76</f>
        <v/>
      </c>
    </row>
    <row r="78">
      <c r="A78" s="9" t="inlineStr">
        <is>
          <t>Tax expense/(credit)</t>
        </is>
      </c>
      <c r="B78" s="13" t="n"/>
      <c r="C78" s="13" t="n"/>
      <c r="D78" s="13" t="n"/>
      <c r="E78" s="13" t="n"/>
      <c r="F78" s="13" t="n"/>
    </row>
    <row r="79">
      <c r="A79" s="9" t="inlineStr">
        <is>
          <t>Extraordinary (gain)/loss</t>
        </is>
      </c>
      <c r="B79" s="13" t="n"/>
      <c r="C79" s="13" t="n"/>
      <c r="D79" s="13" t="n"/>
      <c r="E79" s="13" t="n"/>
      <c r="F79" s="13" t="n"/>
    </row>
    <row r="80">
      <c r="A80" s="14" t="inlineStr">
        <is>
          <t>Sub-total</t>
        </is>
      </c>
      <c r="B80" s="15">
        <f>B78+B79</f>
        <v/>
      </c>
      <c r="C80" s="15">
        <f>C78+C79</f>
        <v/>
      </c>
      <c r="D80" s="15">
        <f>D78+D79</f>
        <v/>
      </c>
      <c r="E80" s="15">
        <f>E78+E79</f>
        <v/>
      </c>
      <c r="F80" s="15">
        <f>F78+F79</f>
        <v/>
      </c>
    </row>
    <row r="81">
      <c r="A81" s="14" t="inlineStr">
        <is>
          <t>Net profit/(loss) after tax</t>
        </is>
      </c>
      <c r="B81" s="15">
        <f>B77-B78-B79</f>
        <v/>
      </c>
      <c r="C81" s="15">
        <f>C77-C78-C79</f>
        <v/>
      </c>
      <c r="D81" s="15">
        <f>D77-D78-D79</f>
        <v/>
      </c>
      <c r="E81" s="15">
        <f>E77-E78-E79</f>
        <v/>
      </c>
      <c r="F81" s="15">
        <f>F77-F78-F79</f>
        <v/>
      </c>
    </row>
    <row r="82">
      <c r="A82" s="9" t="inlineStr">
        <is>
          <t>Dividends/drawings</t>
        </is>
      </c>
      <c r="B82" s="13" t="n"/>
      <c r="C82" s="13" t="n"/>
      <c r="D82" s="13" t="n"/>
      <c r="E82" s="13" t="n"/>
      <c r="F82" s="13" t="n"/>
    </row>
    <row r="83">
      <c r="A83" s="14" t="inlineStr">
        <is>
          <t>To reserves</t>
        </is>
      </c>
      <c r="B83" s="15">
        <f>B81-B82</f>
        <v/>
      </c>
      <c r="C83" s="15">
        <f>C81-C82</f>
        <v/>
      </c>
      <c r="D83" s="15">
        <f>D81-D82</f>
        <v/>
      </c>
      <c r="E83" s="15">
        <f>E81-E82</f>
        <v/>
      </c>
      <c r="F83" s="15">
        <f>F81-F82</f>
        <v/>
      </c>
    </row>
    <row r="84"/>
    <row r="85"/>
    <row r="86"/>
    <row r="87"/>
    <row r="88">
      <c r="A88" s="7" t="inlineStr">
        <is>
          <t>FIXED ASSET RECONCILIATION</t>
        </is>
      </c>
      <c r="B88" s="8" t="n"/>
      <c r="C88" s="8" t="n"/>
      <c r="D88" s="8" t="n"/>
      <c r="E88" s="8" t="n"/>
      <c r="F88" s="8" t="n"/>
    </row>
    <row r="89"/>
    <row r="90">
      <c r="A90" s="9" t="inlineStr">
        <is>
          <t>Opening fixed assets (previous period's ending)</t>
        </is>
      </c>
      <c r="B90" s="19">
        <f>IF(C6="","",C12)</f>
        <v/>
      </c>
      <c r="C90" s="19">
        <f>IF(D6="","",D12)</f>
        <v/>
      </c>
      <c r="D90" s="19">
        <f>IF(E6="","",E12)</f>
        <v/>
      </c>
      <c r="E90" s="19">
        <f>IF(F6="","",F12)</f>
        <v/>
      </c>
      <c r="F90" s="20" t="n"/>
    </row>
    <row r="91">
      <c r="A91" s="9" t="inlineStr">
        <is>
          <t>Depreciation (direct and other)</t>
        </is>
      </c>
      <c r="B91" s="19">
        <f>B62+B66</f>
        <v/>
      </c>
      <c r="C91" s="19">
        <f>C62+C66</f>
        <v/>
      </c>
      <c r="D91" s="19">
        <f>D62+D66</f>
        <v/>
      </c>
      <c r="E91" s="19">
        <f>E62+E66</f>
        <v/>
      </c>
      <c r="F91" s="19">
        <f>F62+F66</f>
        <v/>
      </c>
    </row>
    <row r="92">
      <c r="A92" s="9" t="inlineStr">
        <is>
          <t>Book value of fixed assets sold</t>
        </is>
      </c>
      <c r="B92" s="13" t="n"/>
      <c r="C92" s="13" t="n"/>
      <c r="D92" s="13" t="n"/>
      <c r="E92" s="13" t="n"/>
      <c r="F92" s="13" t="n"/>
    </row>
    <row r="93">
      <c r="A93" s="9" t="inlineStr">
        <is>
          <t>Ending fixed assets</t>
        </is>
      </c>
      <c r="B93" s="19">
        <f>B12</f>
        <v/>
      </c>
      <c r="C93" s="19">
        <f>C12</f>
        <v/>
      </c>
      <c r="D93" s="19">
        <f>D12</f>
        <v/>
      </c>
      <c r="E93" s="19">
        <f>E12</f>
        <v/>
      </c>
      <c r="F93" s="19">
        <f>F12</f>
        <v/>
      </c>
    </row>
    <row r="94">
      <c r="A94" s="9" t="inlineStr">
        <is>
          <t>Revaluations</t>
        </is>
      </c>
      <c r="B94" s="13" t="n"/>
      <c r="C94" s="13" t="n"/>
      <c r="D94" s="13" t="n"/>
      <c r="E94" s="13" t="n"/>
      <c r="F94" s="13" t="n"/>
    </row>
    <row r="95">
      <c r="A95" s="14" t="inlineStr">
        <is>
          <t>Capital expenditure</t>
        </is>
      </c>
      <c r="B95" s="15">
        <f>IF(B90="","",B93-(B90-B91-B92+B94))</f>
        <v/>
      </c>
      <c r="C95" s="15">
        <f>IF(C90="","",C93-(C90-C91-C92+C94))</f>
        <v/>
      </c>
      <c r="D95" s="15">
        <f>IF(D90="","",D93-(D90-D91-D92+D94))</f>
        <v/>
      </c>
      <c r="E95" s="15">
        <f>IF(E90="","",E93-(E90-E91-E92+E94))</f>
        <v/>
      </c>
      <c r="F95" s="21" t="n"/>
    </row>
    <row r="96"/>
    <row r="97"/>
    <row r="98"/>
    <row r="99"/>
    <row r="100"/>
    <row r="101"/>
    <row r="102"/>
    <row r="103"/>
    <row r="104"/>
    <row r="105"/>
    <row r="106"/>
    <row r="107">
      <c r="A107" s="7" t="inlineStr">
        <is>
          <t>TREND RATIOS (oldest period = 1.00)</t>
        </is>
      </c>
      <c r="B107" s="8" t="n"/>
      <c r="C107" s="8" t="n"/>
      <c r="D107" s="8" t="n"/>
      <c r="E107" s="8" t="n"/>
      <c r="F107" s="8" t="n"/>
    </row>
    <row r="108"/>
    <row r="109">
      <c r="A109" s="9" t="inlineStr">
        <is>
          <t>Period</t>
        </is>
      </c>
      <c r="B109" s="17">
        <f>B6</f>
        <v/>
      </c>
      <c r="C109" s="17">
        <f>C6</f>
        <v/>
      </c>
      <c r="D109" s="17">
        <f>D6</f>
        <v/>
      </c>
      <c r="E109" s="17">
        <f>E6</f>
        <v/>
      </c>
      <c r="F109" s="17">
        <f>F6</f>
        <v/>
      </c>
    </row>
    <row r="110">
      <c r="A110" s="9" t="inlineStr">
        <is>
          <t>Fixed assets</t>
        </is>
      </c>
      <c r="B110" s="22">
        <f>IF($F$12=0,0,B12/$F$12)</f>
        <v/>
      </c>
      <c r="C110" s="22">
        <f>IF($F$12=0,0,C12/$F$12)</f>
        <v/>
      </c>
      <c r="D110" s="22">
        <f>IF($F$12=0,0,D12/$F$12)</f>
        <v/>
      </c>
      <c r="E110" s="22">
        <f>IF($F$12=0,0,E12/$F$12)</f>
        <v/>
      </c>
      <c r="F110" s="22">
        <f>IF($F$12=0,0,F12/$F$12)</f>
        <v/>
      </c>
    </row>
    <row r="111">
      <c r="A111" s="9" t="inlineStr">
        <is>
          <t>Current assets</t>
        </is>
      </c>
      <c r="B111" s="22">
        <f>IF($F$19=0,0,B19/$F$19)</f>
        <v/>
      </c>
      <c r="C111" s="22">
        <f>IF($F$19=0,0,C19/$F$19)</f>
        <v/>
      </c>
      <c r="D111" s="22">
        <f>IF($F$19=0,0,D19/$F$19)</f>
        <v/>
      </c>
      <c r="E111" s="22">
        <f>IF($F$19=0,0,E19/$F$19)</f>
        <v/>
      </c>
      <c r="F111" s="22">
        <f>IF($F$19=0,0,F19/$F$19)</f>
        <v/>
      </c>
    </row>
    <row r="112">
      <c r="A112" s="9" t="inlineStr">
        <is>
          <t>Stock</t>
        </is>
      </c>
      <c r="B112" s="22">
        <f>IF($F$14=0,0,B14/$F$14)</f>
        <v/>
      </c>
      <c r="C112" s="22">
        <f>IF($F$14=0,0,C14/$F$14)</f>
        <v/>
      </c>
      <c r="D112" s="22">
        <f>IF($F$14=0,0,D14/$F$14)</f>
        <v/>
      </c>
      <c r="E112" s="22">
        <f>IF($F$14=0,0,E14/$F$14)</f>
        <v/>
      </c>
      <c r="F112" s="22">
        <f>IF($F$14=0,0,F14/$F$14)</f>
        <v/>
      </c>
    </row>
    <row r="113">
      <c r="A113" s="9" t="inlineStr">
        <is>
          <t>Debtors</t>
        </is>
      </c>
      <c r="B113" s="22">
        <f>IF(SUM($F$15:$F$17)=0,0,SUM(B15:B17)/SUM($F$15:$F$17))</f>
        <v/>
      </c>
      <c r="C113" s="22">
        <f>IF(SUM($F$15:$F$17)=0,0,SUM(C15:C17)/SUM($F$15:$F$17))</f>
        <v/>
      </c>
      <c r="D113" s="22">
        <f>IF(SUM($F$15:$F$17)=0,0,SUM(D15:D17)/SUM($F$15:$F$17))</f>
        <v/>
      </c>
      <c r="E113" s="22">
        <f>IF(SUM($F$15:$F$17)=0,0,SUM(E15:E17)/SUM($F$15:$F$17))</f>
        <v/>
      </c>
      <c r="F113" s="22">
        <f>IF(SUM($F$15:$F$17)=0,0,SUM(F15:F17)/SUM($F$15:$F$17))</f>
        <v/>
      </c>
    </row>
    <row r="114">
      <c r="A114" s="9" t="inlineStr">
        <is>
          <t>Current liabilities</t>
        </is>
      </c>
      <c r="B114" s="22">
        <f>IF($F$28=0,0,B28/$F$28)</f>
        <v/>
      </c>
      <c r="C114" s="22">
        <f>IF($F$28=0,0,C28/$F$28)</f>
        <v/>
      </c>
      <c r="D114" s="22">
        <f>IF($F$28=0,0,D28/$F$28)</f>
        <v/>
      </c>
      <c r="E114" s="22">
        <f>IF($F$28=0,0,E28/$F$28)</f>
        <v/>
      </c>
      <c r="F114" s="22">
        <f>IF($F$28=0,0,F28/$F$28)</f>
        <v/>
      </c>
    </row>
    <row r="115">
      <c r="A115" s="9" t="inlineStr">
        <is>
          <t>Tangible net worth</t>
        </is>
      </c>
      <c r="B115" s="22">
        <f>IF($F$42=0,0,B42/$F$42)</f>
        <v/>
      </c>
      <c r="C115" s="22">
        <f>IF($F$42=0,0,C42/$F$42)</f>
        <v/>
      </c>
      <c r="D115" s="22">
        <f>IF($F$42=0,0,D42/$F$42)</f>
        <v/>
      </c>
      <c r="E115" s="22">
        <f>IF($F$42=0,0,E42/$F$42)</f>
        <v/>
      </c>
      <c r="F115" s="22">
        <f>IF($F$42=0,0,F42/$F$42)</f>
        <v/>
      </c>
    </row>
    <row r="116">
      <c r="A116" s="9" t="inlineStr">
        <is>
          <t>Sales</t>
        </is>
      </c>
      <c r="B116" s="22">
        <f>IF($F$60=0,0,B60/$F$60)</f>
        <v/>
      </c>
      <c r="C116" s="22">
        <f>IF($F$60=0,0,C60/$F$60)</f>
        <v/>
      </c>
      <c r="D116" s="22">
        <f>IF($F$60=0,0,D60/$F$60)</f>
        <v/>
      </c>
      <c r="E116" s="22">
        <f>IF($F$60=0,0,E60/$F$60)</f>
        <v/>
      </c>
      <c r="F116" s="22">
        <f>IF($F$60=0,0,F60/$F$60)</f>
        <v/>
      </c>
    </row>
    <row r="117">
      <c r="A117" s="9" t="inlineStr">
        <is>
          <t>Profit before tax</t>
        </is>
      </c>
      <c r="B117" s="22">
        <f>IF($F$77=0,0,B77/$F$77)</f>
        <v/>
      </c>
      <c r="C117" s="22">
        <f>IF($F$77=0,0,C77/$F$77)</f>
        <v/>
      </c>
      <c r="D117" s="22">
        <f>IF($F$77=0,0,D77/$F$77)</f>
        <v/>
      </c>
      <c r="E117" s="22">
        <f>IF($F$77=0,0,E77/$F$77)</f>
        <v/>
      </c>
      <c r="F117" s="22">
        <f>IF($F$77=0,0,F77/$F$77)</f>
        <v/>
      </c>
    </row>
    <row r="118"/>
    <row r="119">
      <c r="A119" s="7" t="inlineStr">
        <is>
          <t>ANALYTICAL RATIOS</t>
        </is>
      </c>
      <c r="B119" s="8" t="n"/>
      <c r="C119" s="8" t="n"/>
      <c r="D119" s="8" t="n"/>
      <c r="E119" s="8" t="n"/>
      <c r="F119" s="8" t="n"/>
    </row>
    <row r="120"/>
    <row r="121">
      <c r="A121" s="9" t="inlineStr">
        <is>
          <t>Period</t>
        </is>
      </c>
      <c r="B121" s="17">
        <f>B6</f>
        <v/>
      </c>
      <c r="C121" s="17">
        <f>C6</f>
        <v/>
      </c>
      <c r="D121" s="17">
        <f>D6</f>
        <v/>
      </c>
      <c r="E121" s="17">
        <f>E6</f>
        <v/>
      </c>
      <c r="F121" s="17">
        <f>F6</f>
        <v/>
      </c>
    </row>
    <row r="122">
      <c r="A122" s="9" t="inlineStr">
        <is>
          <t>Period length (days)</t>
        </is>
      </c>
      <c r="B122" s="18">
        <f>B7</f>
        <v/>
      </c>
      <c r="C122" s="18">
        <f>C7</f>
        <v/>
      </c>
      <c r="D122" s="18">
        <f>D7</f>
        <v/>
      </c>
      <c r="E122" s="18">
        <f>E7</f>
        <v/>
      </c>
      <c r="F122" s="18">
        <f>F7</f>
        <v/>
      </c>
    </row>
    <row r="123">
      <c r="A123" s="9" t="inlineStr">
        <is>
          <t>Net sales growth rate (annualized)</t>
        </is>
      </c>
      <c r="B123" s="23">
        <f>IF(OR(B60=0,C60=0),"",((B60*365/B59)-(C60*365/C59))/(C60*365/C59))</f>
        <v/>
      </c>
      <c r="C123" s="23">
        <f>IF(OR(C60=0,D60=0),"",((C60*365/C59)-(D60*365/D59))/(D60*365/D59))</f>
        <v/>
      </c>
      <c r="D123" s="23">
        <f>IF(OR(D60=0,E60=0),"",((D60*365/D59)-(E60*365/E59))/(E60*365/E59))</f>
        <v/>
      </c>
      <c r="E123" s="23">
        <f>IF(OR(E60=0,F60=0),"",((E60*365/E59)-(F60*365/F59))/(F60*365/F59))</f>
        <v/>
      </c>
      <c r="F123" s="24" t="n"/>
    </row>
    <row r="124">
      <c r="A124" s="9" t="inlineStr">
        <is>
          <t>Gross profit margin</t>
        </is>
      </c>
      <c r="B124" s="23">
        <f>IF(OR(B60=0,SUM(B61:B63)=0),0,B64/B60)</f>
        <v/>
      </c>
      <c r="C124" s="23">
        <f>IF(OR(C60=0,SUM(C61:C63)=0),0,C64/C60)</f>
        <v/>
      </c>
      <c r="D124" s="23">
        <f>IF(OR(D60=0,SUM(D61:D63)=0),0,D64/D60)</f>
        <v/>
      </c>
      <c r="E124" s="23">
        <f>IF(OR(E60=0,SUM(E61:E63)=0),0,E64/E60)</f>
        <v/>
      </c>
      <c r="F124" s="23">
        <f>IF(OR(F60=0,SUM(F61:F63)=0),0,F64/F60)</f>
        <v/>
      </c>
    </row>
    <row r="125">
      <c r="A125" s="9" t="inlineStr">
        <is>
          <t>Net profit margin</t>
        </is>
      </c>
      <c r="B125" s="23">
        <f>IF(B60=0,0,B81/B60)</f>
        <v/>
      </c>
      <c r="C125" s="23">
        <f>IF(C60=0,0,C81/C60)</f>
        <v/>
      </c>
      <c r="D125" s="23">
        <f>IF(D60=0,0,D81/D60)</f>
        <v/>
      </c>
      <c r="E125" s="23">
        <f>IF(E60=0,0,E81/E60)</f>
        <v/>
      </c>
      <c r="F125" s="23">
        <f>IF(F60=0,0,F81/F60)</f>
        <v/>
      </c>
    </row>
    <row r="126">
      <c r="A126" s="9" t="inlineStr">
        <is>
          <t>Return on equity</t>
        </is>
      </c>
      <c r="B126" s="23">
        <f>IF(B42=0,0,B81/B42)</f>
        <v/>
      </c>
      <c r="C126" s="23">
        <f>IF(C42=0,0,C81/C42)</f>
        <v/>
      </c>
      <c r="D126" s="23">
        <f>IF(D42=0,0,D81/D42)</f>
        <v/>
      </c>
      <c r="E126" s="23">
        <f>IF(E42=0,0,E81/E42)</f>
        <v/>
      </c>
      <c r="F126" s="23">
        <f>IF(F42=0,0,F81/F42)</f>
        <v/>
      </c>
    </row>
    <row r="127">
      <c r="A127" s="14" t="inlineStr">
        <is>
          <t>LIQUIDITY</t>
        </is>
      </c>
    </row>
    <row r="128">
      <c r="A128" s="9" t="inlineStr">
        <is>
          <t>Current ratio</t>
        </is>
      </c>
      <c r="B128" s="22">
        <f>IF(B28=0,0,B19/B28)</f>
        <v/>
      </c>
      <c r="C128" s="22">
        <f>IF(C28=0,0,C19/C28)</f>
        <v/>
      </c>
      <c r="D128" s="22">
        <f>IF(D28=0,0,D19/D28)</f>
        <v/>
      </c>
      <c r="E128" s="22">
        <f>IF(E28=0,0,E19/E28)</f>
        <v/>
      </c>
      <c r="F128" s="22">
        <f>IF(F28=0,0,F19/F28)</f>
        <v/>
      </c>
    </row>
    <row r="129">
      <c r="A129" s="9" t="inlineStr">
        <is>
          <t>Quick ratio</t>
        </is>
      </c>
      <c r="B129" s="22">
        <f>IF(B28=0,0,(B19-B14)/B28)</f>
        <v/>
      </c>
      <c r="C129" s="22">
        <f>IF(C28=0,0,(C19-C14)/C28)</f>
        <v/>
      </c>
      <c r="D129" s="22">
        <f>IF(D28=0,0,(D19-D14)/D28)</f>
        <v/>
      </c>
      <c r="E129" s="22">
        <f>IF(E28=0,0,(E19-E14)/E28)</f>
        <v/>
      </c>
      <c r="F129" s="22">
        <f>IF(F28=0,0,(F19-F14)/F28)</f>
        <v/>
      </c>
    </row>
    <row r="130">
      <c r="A130" s="14" t="inlineStr">
        <is>
          <t>WORKING CAPITAL MANAGEMENT</t>
        </is>
      </c>
    </row>
    <row r="131">
      <c r="A131" s="9" t="inlineStr">
        <is>
          <t>Stock turnover (days)</t>
        </is>
      </c>
      <c r="B131" s="18">
        <f>IF(B61=0,0,(B14*B59)/SUM(B61:B63))</f>
        <v/>
      </c>
      <c r="C131" s="18">
        <f>IF(C61=0,0,(C14*C59)/SUM(C61:C63))</f>
        <v/>
      </c>
      <c r="D131" s="18">
        <f>IF(D61=0,0,(D14*D59)/SUM(D61:D63))</f>
        <v/>
      </c>
      <c r="E131" s="18">
        <f>IF(E61=0,0,(E14*E59)/SUM(E61:E63))</f>
        <v/>
      </c>
      <c r="F131" s="18">
        <f>IF(F61=0,0,(F14*F59)/SUM(F61:F63))</f>
        <v/>
      </c>
    </row>
    <row r="132">
      <c r="A132" s="9" t="inlineStr">
        <is>
          <t>Debtors turnover (days)</t>
        </is>
      </c>
      <c r="B132" s="18">
        <f>IF(B60=0,0,(B15*B59)/B60)</f>
        <v/>
      </c>
      <c r="C132" s="18">
        <f>IF(C60=0,0,(C15*C59)/C60)</f>
        <v/>
      </c>
      <c r="D132" s="18">
        <f>IF(D60=0,0,(D15*D59)/D60)</f>
        <v/>
      </c>
      <c r="E132" s="18">
        <f>IF(E60=0,0,(E15*E59)/E60)</f>
        <v/>
      </c>
      <c r="F132" s="18">
        <f>IF(F60=0,0,(F15*F59)/F60)</f>
        <v/>
      </c>
    </row>
    <row r="133">
      <c r="A133" s="9" t="inlineStr">
        <is>
          <t>Creditors turnover (days)</t>
        </is>
      </c>
      <c r="B133" s="18">
        <f>IF(B61=0,0,(B22*B59)/B61)</f>
        <v/>
      </c>
      <c r="C133" s="18">
        <f>IF(C61=0,0,(C22*C59)/C61)</f>
        <v/>
      </c>
      <c r="D133" s="18">
        <f>IF(D61=0,0,(D22*D59)/D61)</f>
        <v/>
      </c>
      <c r="E133" s="18">
        <f>IF(E61=0,0,(E22*E59)/E61)</f>
        <v/>
      </c>
      <c r="F133" s="18">
        <f>IF(F61=0,0,(F22*F59)/F61)</f>
        <v/>
      </c>
    </row>
    <row r="134">
      <c r="A134" s="14" t="inlineStr">
        <is>
          <t>Working capital cycle (days)</t>
        </is>
      </c>
      <c r="B134" s="25">
        <f>B131+B132-B133</f>
        <v/>
      </c>
      <c r="C134" s="25">
        <f>C131+C132-C133</f>
        <v/>
      </c>
      <c r="D134" s="25">
        <f>D131+D132-D133</f>
        <v/>
      </c>
      <c r="E134" s="25">
        <f>E131+E132-E133</f>
        <v/>
      </c>
      <c r="F134" s="25">
        <f>F131+F132-F133</f>
        <v/>
      </c>
    </row>
    <row r="135"/>
    <row r="136">
      <c r="A136" s="9" t="inlineStr">
        <is>
          <t>Working capital required per one Birr of sales</t>
        </is>
      </c>
      <c r="B136" s="22">
        <f>IF(OR(B64=0,B60=0),0,((B14+B15-B22)/B60)*B122/365)</f>
        <v/>
      </c>
      <c r="C136" s="22">
        <f>IF(OR(C64=0,C60=0),0,((C14+C15-C22)/C60)*C122/365)</f>
        <v/>
      </c>
      <c r="D136" s="22">
        <f>IF(OR(D64=0,D60=0),0,((D14+D15-D22)/D60)*D122/365)</f>
        <v/>
      </c>
      <c r="E136" s="22">
        <f>IF(OR(E64=0,E60=0),0,((E14+E15-E22)/E60)*E122/365)</f>
        <v/>
      </c>
      <c r="F136" s="22">
        <f>IF(OR(F64=0,F60=0),0,((F14+F15-F22)/F60)*F122/365)</f>
        <v/>
      </c>
    </row>
    <row r="137">
      <c r="A137" s="14" t="inlineStr">
        <is>
          <t>Working capital source/(need) due to sales growth</t>
        </is>
      </c>
    </row>
    <row r="138"/>
    <row r="139">
      <c r="A139" s="9" t="inlineStr">
        <is>
          <t>Stock (increase)/decrease</t>
        </is>
      </c>
      <c r="B139" s="19">
        <f>IF(C6="","",C14-(SUM(B61:B63)*C131/B7))</f>
        <v/>
      </c>
      <c r="C139" s="19">
        <f>IF(D6="","",D14-(SUM(C61:C63)*D131/C7))</f>
        <v/>
      </c>
      <c r="D139" s="19">
        <f>IF(E6="","",E14-(SUM(D61:D63)*E131/D7))</f>
        <v/>
      </c>
      <c r="E139" s="19">
        <f>IF(F6="","",F14-(SUM(E61:E63)*F131/E7))</f>
        <v/>
      </c>
      <c r="F139" s="20" t="n"/>
    </row>
    <row r="140">
      <c r="A140" s="9" t="inlineStr">
        <is>
          <t>Trade debtors (increase)/decrease</t>
        </is>
      </c>
      <c r="B140" s="19">
        <f>IF(C6="","",C15-(B60*C132/B7))</f>
        <v/>
      </c>
      <c r="C140" s="19">
        <f>IF(D6="","",D15-(C60*D132/C7))</f>
        <v/>
      </c>
      <c r="D140" s="19">
        <f>IF(E6="","",E15-(D60*E132/D7))</f>
        <v/>
      </c>
      <c r="E140" s="19">
        <f>IF(F6="","",F15-(E60*F132/E7))</f>
        <v/>
      </c>
      <c r="F140" s="20" t="n"/>
    </row>
    <row r="141">
      <c r="A141" s="9" t="inlineStr">
        <is>
          <t>Trade creditors increase/(decrease)</t>
        </is>
      </c>
      <c r="B141" s="19">
        <f>IF(C6="","",(B61*C133/B7)-C22)</f>
        <v/>
      </c>
      <c r="C141" s="19">
        <f>IF(D6="","",(C61*D133/C7)-D22)</f>
        <v/>
      </c>
      <c r="D141" s="19">
        <f>IF(E6="","",(D61*E133/D7)-E22)</f>
        <v/>
      </c>
      <c r="E141" s="19">
        <f>IF(F6="","",(E61*F133/E7)-F22)</f>
        <v/>
      </c>
      <c r="F141" s="20" t="n"/>
    </row>
    <row r="142">
      <c r="A142" s="14" t="inlineStr">
        <is>
          <t>Total source/(need)</t>
        </is>
      </c>
      <c r="B142" s="15">
        <f>IF(C6="","",SUM(B139:B141))</f>
        <v/>
      </c>
      <c r="C142" s="15">
        <f>IF(D6="","",SUM(C139:C141))</f>
        <v/>
      </c>
      <c r="D142" s="15">
        <f>IF(E6="","",SUM(D139:D141))</f>
        <v/>
      </c>
      <c r="E142" s="15">
        <f>IF(F6="","",SUM(E139:E141))</f>
        <v/>
      </c>
      <c r="F142" s="21" t="n"/>
    </row>
    <row r="143">
      <c r="A143" s="9" t="inlineStr">
        <is>
          <t>Tangible net worth (total capital)</t>
        </is>
      </c>
      <c r="B143" s="19">
        <f>B42</f>
        <v/>
      </c>
      <c r="C143" s="19">
        <f>C42</f>
        <v/>
      </c>
      <c r="D143" s="19">
        <f>D42</f>
        <v/>
      </c>
      <c r="E143" s="19">
        <f>E42</f>
        <v/>
      </c>
      <c r="F143" s="19">
        <f>F42</f>
        <v/>
      </c>
    </row>
    <row r="144">
      <c r="A144" s="9" t="inlineStr">
        <is>
          <t>Total assets</t>
        </is>
      </c>
      <c r="B144" s="19">
        <f>B12+B19</f>
        <v/>
      </c>
      <c r="C144" s="19">
        <f>C12+C19</f>
        <v/>
      </c>
      <c r="D144" s="19">
        <f>D12+D19</f>
        <v/>
      </c>
      <c r="E144" s="19">
        <f>E12+E19</f>
        <v/>
      </c>
      <c r="F144" s="19">
        <f>F12+F19</f>
        <v/>
      </c>
    </row>
    <row r="145">
      <c r="A145" s="9" t="inlineStr">
        <is>
          <t>Total liabilities / tangible net worth</t>
        </is>
      </c>
      <c r="B145" s="22">
        <f>IF(B143&lt;=0,0,(B28+B37)/B143)</f>
        <v/>
      </c>
      <c r="C145" s="22">
        <f>IF(C143&lt;=0,0,(C28+C37)/C143)</f>
        <v/>
      </c>
      <c r="D145" s="22">
        <f>IF(D143&lt;=0,0,(D28+D37)/D143)</f>
        <v/>
      </c>
      <c r="E145" s="22">
        <f>IF(E143&lt;=0,0,(E28+E37)/E143)</f>
        <v/>
      </c>
      <c r="F145" s="22">
        <f>IF(F143&lt;=0,0,(F28+F37)/F143)</f>
        <v/>
      </c>
    </row>
    <row r="146">
      <c r="A146" s="9" t="inlineStr">
        <is>
          <t>Bank debt / tangible net worth</t>
        </is>
      </c>
      <c r="B146" s="22">
        <f>IF(B143&lt;=0,0,(B20+B21+B31)/B143)</f>
        <v/>
      </c>
      <c r="C146" s="22">
        <f>IF(C143&lt;=0,0,(C20+C21+C31)/C143)</f>
        <v/>
      </c>
      <c r="D146" s="22">
        <f>IF(D143&lt;=0,0,(D20+D21+D31)/D143)</f>
        <v/>
      </c>
      <c r="E146" s="22">
        <f>IF(E143&lt;=0,0,(E20+E21+E31)/E143)</f>
        <v/>
      </c>
      <c r="F146" s="22">
        <f>IF(F143&lt;=0,0,(F20+F21+F31)/F143)</f>
        <v/>
      </c>
    </row>
    <row r="147">
      <c r="A147" s="9" t="inlineStr">
        <is>
          <t>Total liabilities / total assets</t>
        </is>
      </c>
      <c r="B147" s="23">
        <f>IF(B144=0,0,(B28+B37)/B144)</f>
        <v/>
      </c>
      <c r="C147" s="23">
        <f>IF(C144=0,0,(C28+C37)/C144)</f>
        <v/>
      </c>
      <c r="D147" s="23">
        <f>IF(D144=0,0,(D28+D37)/D144)</f>
        <v/>
      </c>
      <c r="E147" s="23">
        <f>IF(E144=0,0,(E28+E37)/E144)</f>
        <v/>
      </c>
      <c r="F147" s="23">
        <f>IF(F144=0,0,(F28+F37)/F144)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2026-10-22T16:38:47Z</dcterms:created>
  <dcterms:modified xmlns:dcterms="http://purl.org/dc/terms/" xmlns:xsi="http://www.w3.org/2001/XMLSchema-instance" xsi:type="dcterms:W3CDTF">2026-10-22T16:38:47Z</dcterms:modified>
</cp:coreProperties>
</file>